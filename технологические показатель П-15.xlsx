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bookViews>
    <workbookView showHorizontalScroll="0" showVerticalScroll="0" showSheetTabs="0" xWindow="0" yWindow="0" windowWidth="28740" windowHeight="12150"/>
  </bookViews>
  <sheets>
    <sheet name="Тех. показ." sheetId="3" r:id="rId1"/>
  </sheets>
  <calcPr calcId="162913"/>
</workbook>
</file>

<file path=xl/calcChain.xml><?xml version="1.0" encoding="utf-8"?>
<calcChain xmlns="http://schemas.openxmlformats.org/spreadsheetml/2006/main">
  <c r="K34" i="3" l="1"/>
  <c r="K29" i="3"/>
  <c r="K28" i="3"/>
  <c r="L7" i="3"/>
  <c r="E7" i="3"/>
  <c r="D7" i="3"/>
  <c r="K6" i="3"/>
  <c r="K7" i="3" s="1"/>
  <c r="J6" i="3"/>
  <c r="J7" i="3" s="1"/>
  <c r="I6" i="3"/>
  <c r="I7" i="3" s="1"/>
</calcChain>
</file>

<file path=xl/sharedStrings.xml><?xml version="1.0" encoding="utf-8"?>
<sst xmlns="http://schemas.openxmlformats.org/spreadsheetml/2006/main" count="49" uniqueCount="45">
  <si>
    <t>№ блока</t>
  </si>
  <si>
    <t>Между рядами</t>
  </si>
  <si>
    <t>Обьем БВР</t>
  </si>
  <si>
    <t>Срок выполнения</t>
  </si>
  <si>
    <t>Глубина бурения  (м)</t>
  </si>
  <si>
    <t>Расстояние                  (м)</t>
  </si>
  <si>
    <t>Взрывных работ      (смен)</t>
  </si>
  <si>
    <t>Кол. скважин  (шт)</t>
  </si>
  <si>
    <t>Между скваж.</t>
  </si>
  <si>
    <t>Очередность бурения блока</t>
  </si>
  <si>
    <t>Всего</t>
  </si>
  <si>
    <t xml:space="preserve"> S блока (т.м2)</t>
  </si>
  <si>
    <t>Обьем торфов (т.м3)</t>
  </si>
  <si>
    <t>Обьем бурения скв.          (п.м.)</t>
  </si>
  <si>
    <t>Бур. работ (сутки)</t>
  </si>
  <si>
    <t>№№ п/п</t>
  </si>
  <si>
    <t>Наименование</t>
  </si>
  <si>
    <t>Ед-ца изм.</t>
  </si>
  <si>
    <t>Кол-во</t>
  </si>
  <si>
    <t>Категория пород</t>
  </si>
  <si>
    <t>Диаметр скважины</t>
  </si>
  <si>
    <t>Расстояние между рядами</t>
  </si>
  <si>
    <t>Расстояние между скважинами</t>
  </si>
  <si>
    <t>КИС</t>
  </si>
  <si>
    <t>Сменная производительность</t>
  </si>
  <si>
    <t>мм.</t>
  </si>
  <si>
    <t>м</t>
  </si>
  <si>
    <t>п.м.</t>
  </si>
  <si>
    <t>Обьем буровых работ</t>
  </si>
  <si>
    <t>шт.</t>
  </si>
  <si>
    <t>Количество скважин</t>
  </si>
  <si>
    <t>градус</t>
  </si>
  <si>
    <t xml:space="preserve">Направление скважины </t>
  </si>
  <si>
    <t>Время бурения блока</t>
  </si>
  <si>
    <t>сутки</t>
  </si>
  <si>
    <t>Перебур</t>
  </si>
  <si>
    <t>т.м2</t>
  </si>
  <si>
    <t>Площадь блока</t>
  </si>
  <si>
    <t>П-13</t>
  </si>
  <si>
    <t xml:space="preserve">Выход горной массы </t>
  </si>
  <si>
    <t>V</t>
  </si>
  <si>
    <t>Средняя глубина скважины</t>
  </si>
  <si>
    <t>т.м3</t>
  </si>
  <si>
    <t>Технологические показатели  П-15(DM45)</t>
  </si>
  <si>
    <r>
      <t>С</t>
    </r>
    <r>
      <rPr>
        <sz val="8"/>
        <color theme="1"/>
        <rFont val="Times New Roman"/>
        <family val="1"/>
        <charset val="204"/>
      </rPr>
      <t>1</t>
    </r>
    <r>
      <rPr>
        <sz val="12"/>
        <color theme="1"/>
        <rFont val="Times New Roman"/>
        <family val="1"/>
        <charset val="204"/>
      </rPr>
      <t>- 57 = 149 шт;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</si>
</sst>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5" x14ac:knownFonts="1">
    <font>
      <sz val="11"/>
      <color theme="1"/>
      <name val="Calibri"/>
      <family val="2"/>
      <charset val="204"/>
      <scheme val="minor"/>
    </font>
    <font>
      <sz val="9"/>
      <color theme="1"/>
      <name val="Calibri"/>
      <family val="2"/>
      <charset val="204"/>
      <scheme val="minor"/>
    </font>
    <font>
      <sz val="6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sz val="8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0" xfId="0" applyFill="1"/>
    <xf numFmtId="0" fontId="2" fillId="0" borderId="6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1" fontId="1" fillId="0" borderId="4" xfId="0" applyNumberFormat="1" applyFont="1" applyBorder="1" applyAlignment="1">
      <alignment horizontal="center"/>
    </xf>
    <xf numFmtId="0" fontId="3" fillId="0" borderId="4" xfId="0" applyFont="1" applyFill="1" applyBorder="1" applyAlignment="1">
      <alignment wrapText="1"/>
    </xf>
    <xf numFmtId="0" fontId="3" fillId="0" borderId="4" xfId="0" applyFont="1" applyFill="1" applyBorder="1" applyAlignment="1">
      <alignment horizontal="center" wrapText="1"/>
    </xf>
    <xf numFmtId="0" fontId="3" fillId="0" borderId="9" xfId="0" applyFont="1" applyFill="1" applyBorder="1" applyAlignment="1">
      <alignment vertical="center"/>
    </xf>
    <xf numFmtId="0" fontId="3" fillId="0" borderId="8" xfId="0" applyFont="1" applyFill="1" applyBorder="1" applyAlignment="1">
      <alignment horizontal="center"/>
    </xf>
    <xf numFmtId="0" fontId="3" fillId="0" borderId="8" xfId="0" applyFont="1" applyFill="1" applyBorder="1"/>
    <xf numFmtId="0" fontId="3" fillId="0" borderId="4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/>
    </xf>
    <xf numFmtId="0" fontId="3" fillId="0" borderId="4" xfId="0" applyFont="1" applyFill="1" applyBorder="1"/>
    <xf numFmtId="0" fontId="3" fillId="0" borderId="6" xfId="0" applyFont="1" applyFill="1" applyBorder="1" applyAlignment="1">
      <alignment horizontal="center"/>
    </xf>
    <xf numFmtId="2" fontId="3" fillId="0" borderId="5" xfId="0" applyNumberFormat="1" applyFont="1" applyFill="1" applyBorder="1" applyAlignment="1">
      <alignment horizontal="center"/>
    </xf>
    <xf numFmtId="164" fontId="3" fillId="0" borderId="4" xfId="0" applyNumberFormat="1" applyFont="1" applyFill="1" applyBorder="1" applyAlignment="1">
      <alignment horizontal="center"/>
    </xf>
    <xf numFmtId="164" fontId="3" fillId="0" borderId="7" xfId="0" applyNumberFormat="1" applyFont="1" applyFill="1" applyBorder="1" applyAlignment="1">
      <alignment horizontal="center"/>
    </xf>
    <xf numFmtId="0" fontId="3" fillId="0" borderId="7" xfId="0" applyFont="1" applyFill="1" applyBorder="1" applyAlignment="1">
      <alignment horizontal="center"/>
    </xf>
    <xf numFmtId="164" fontId="3" fillId="0" borderId="7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/>
    </xf>
    <xf numFmtId="0" fontId="3" fillId="0" borderId="2" xfId="0" applyFont="1" applyFill="1" applyBorder="1" applyAlignment="1">
      <alignment horizontal="left"/>
    </xf>
    <xf numFmtId="0" fontId="3" fillId="0" borderId="3" xfId="0" applyFont="1" applyFill="1" applyBorder="1" applyAlignment="1">
      <alignment horizontal="left"/>
    </xf>
    <xf numFmtId="0" fontId="3" fillId="0" borderId="1" xfId="0" applyFont="1" applyFill="1" applyBorder="1" applyAlignment="1">
      <alignment horizontal="center"/>
    </xf>
    <xf numFmtId="0" fontId="3" fillId="0" borderId="2" xfId="0" applyFont="1" applyFill="1" applyBorder="1" applyAlignment="1">
      <alignment horizontal="center"/>
    </xf>
    <xf numFmtId="0" fontId="3" fillId="0" borderId="3" xfId="0" applyFont="1" applyFill="1" applyBorder="1" applyAlignment="1">
      <alignment horizontal="center"/>
    </xf>
    <xf numFmtId="0" fontId="3" fillId="0" borderId="0" xfId="0" applyFont="1" applyFill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8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L34"/>
  <sheetViews>
    <sheetView tabSelected="1" topLeftCell="A10" zoomScaleNormal="100" workbookViewId="0">
      <selection activeCell="C24" sqref="C24:I24"/>
    </sheetView>
  </sheetViews>
  <sheetFormatPr defaultRowHeight="15" x14ac:dyDescent="0.25"/>
  <cols>
    <col min="1" max="1" width="2.140625" customWidth="1"/>
    <col min="2" max="2" width="7" customWidth="1"/>
    <col min="3" max="3" width="7.28515625" customWidth="1"/>
    <col min="4" max="4" width="6.140625" customWidth="1"/>
    <col min="5" max="5" width="7.28515625" customWidth="1"/>
    <col min="6" max="6" width="7" customWidth="1"/>
    <col min="7" max="7" width="6.7109375" customWidth="1"/>
    <col min="8" max="8" width="6.5703125" customWidth="1"/>
    <col min="9" max="9" width="7.140625" customWidth="1"/>
    <col min="10" max="10" width="7" customWidth="1"/>
    <col min="11" max="11" width="7.5703125" customWidth="1"/>
    <col min="12" max="12" width="8.7109375" customWidth="1"/>
  </cols>
  <sheetData>
    <row r="3" spans="2:12" ht="20.25" customHeight="1" x14ac:dyDescent="0.25">
      <c r="B3" s="38" t="s">
        <v>0</v>
      </c>
      <c r="C3" s="38" t="s">
        <v>9</v>
      </c>
      <c r="D3" s="38" t="s">
        <v>11</v>
      </c>
      <c r="E3" s="38" t="s">
        <v>7</v>
      </c>
      <c r="F3" s="38" t="s">
        <v>4</v>
      </c>
      <c r="G3" s="40" t="s">
        <v>5</v>
      </c>
      <c r="H3" s="41"/>
      <c r="I3" s="33" t="s">
        <v>2</v>
      </c>
      <c r="J3" s="34"/>
      <c r="K3" s="35" t="s">
        <v>3</v>
      </c>
      <c r="L3" s="34"/>
    </row>
    <row r="4" spans="2:12" ht="45.75" customHeight="1" x14ac:dyDescent="0.25">
      <c r="B4" s="39"/>
      <c r="C4" s="39"/>
      <c r="D4" s="39"/>
      <c r="E4" s="39"/>
      <c r="F4" s="39"/>
      <c r="G4" s="1" t="s">
        <v>1</v>
      </c>
      <c r="H4" s="1" t="s">
        <v>8</v>
      </c>
      <c r="I4" s="1" t="s">
        <v>13</v>
      </c>
      <c r="J4" s="2" t="s">
        <v>12</v>
      </c>
      <c r="K4" s="1" t="s">
        <v>14</v>
      </c>
      <c r="L4" s="2" t="s">
        <v>6</v>
      </c>
    </row>
    <row r="5" spans="2:12" ht="8.25" customHeight="1" x14ac:dyDescent="0.25">
      <c r="B5" s="6">
        <v>1</v>
      </c>
      <c r="C5" s="6">
        <v>2</v>
      </c>
      <c r="D5" s="6">
        <v>3</v>
      </c>
      <c r="E5" s="6">
        <v>4</v>
      </c>
      <c r="F5" s="6">
        <v>5</v>
      </c>
      <c r="G5" s="6">
        <v>6</v>
      </c>
      <c r="H5" s="6">
        <v>7</v>
      </c>
      <c r="I5" s="6">
        <v>8</v>
      </c>
      <c r="J5" s="7">
        <v>9</v>
      </c>
      <c r="K5" s="6">
        <v>10</v>
      </c>
      <c r="L5" s="7">
        <v>11</v>
      </c>
    </row>
    <row r="6" spans="2:12" ht="10.5" customHeight="1" x14ac:dyDescent="0.25">
      <c r="B6" s="3" t="s">
        <v>38</v>
      </c>
      <c r="C6" s="3">
        <v>1</v>
      </c>
      <c r="D6" s="3">
        <v>8.5</v>
      </c>
      <c r="E6" s="3">
        <v>267</v>
      </c>
      <c r="F6" s="3">
        <v>7.5</v>
      </c>
      <c r="G6" s="3">
        <v>6.5</v>
      </c>
      <c r="H6" s="3">
        <v>6.5</v>
      </c>
      <c r="I6" s="3" t="e">
        <f>#REF!</f>
        <v>#REF!</v>
      </c>
      <c r="J6" s="4" t="e">
        <f>#REF!</f>
        <v>#REF!</v>
      </c>
      <c r="K6" s="8" t="e">
        <f>#REF!</f>
        <v>#REF!</v>
      </c>
      <c r="L6" s="4">
        <v>1</v>
      </c>
    </row>
    <row r="7" spans="2:12" ht="12" customHeight="1" x14ac:dyDescent="0.25">
      <c r="B7" s="36" t="s">
        <v>10</v>
      </c>
      <c r="C7" s="37"/>
      <c r="D7" s="3">
        <f>SUM(D6:D6)</f>
        <v>8.5</v>
      </c>
      <c r="E7" s="3">
        <f>SUM(E6:E6)</f>
        <v>267</v>
      </c>
      <c r="F7" s="3"/>
      <c r="G7" s="3"/>
      <c r="H7" s="3"/>
      <c r="I7" s="3" t="e">
        <f>SUM(I6:I6)</f>
        <v>#REF!</v>
      </c>
      <c r="J7" s="3" t="e">
        <f>SUM(J6:J6)</f>
        <v>#REF!</v>
      </c>
      <c r="K7" s="3" t="e">
        <f>SUM(K6:K6)</f>
        <v>#REF!</v>
      </c>
      <c r="L7" s="3">
        <f>SUM(L6:L6)</f>
        <v>1</v>
      </c>
    </row>
    <row r="11" spans="2:12" x14ac:dyDescent="0.25"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</row>
    <row r="12" spans="2:12" ht="23.25" customHeight="1" x14ac:dyDescent="0.25">
      <c r="K12" s="5"/>
      <c r="L12" s="5"/>
    </row>
    <row r="13" spans="2:12" ht="12.75" customHeight="1" x14ac:dyDescent="0.25"/>
    <row r="14" spans="2:12" hidden="1" x14ac:dyDescent="0.25"/>
    <row r="17" spans="2:11" x14ac:dyDescent="0.25">
      <c r="B17" s="29" t="s">
        <v>43</v>
      </c>
      <c r="C17" s="29"/>
      <c r="D17" s="29"/>
      <c r="E17" s="29"/>
      <c r="F17" s="29"/>
      <c r="G17" s="29"/>
      <c r="H17" s="29"/>
      <c r="I17" s="29"/>
      <c r="J17" s="29"/>
      <c r="K17" s="29"/>
    </row>
    <row r="18" spans="2:11" x14ac:dyDescent="0.25">
      <c r="B18" s="29"/>
      <c r="C18" s="29"/>
      <c r="D18" s="29"/>
      <c r="E18" s="29"/>
      <c r="F18" s="29"/>
      <c r="G18" s="29"/>
      <c r="H18" s="29"/>
      <c r="I18" s="29"/>
      <c r="J18" s="29"/>
      <c r="K18" s="29"/>
    </row>
    <row r="19" spans="2:11" ht="31.5" x14ac:dyDescent="0.25">
      <c r="B19" s="9" t="s">
        <v>15</v>
      </c>
      <c r="C19" s="30" t="s">
        <v>16</v>
      </c>
      <c r="D19" s="31"/>
      <c r="E19" s="31"/>
      <c r="F19" s="31"/>
      <c r="G19" s="31"/>
      <c r="H19" s="31"/>
      <c r="I19" s="32"/>
      <c r="J19" s="10" t="s">
        <v>17</v>
      </c>
      <c r="K19" s="11" t="s">
        <v>18</v>
      </c>
    </row>
    <row r="20" spans="2:11" ht="15.75" x14ac:dyDescent="0.25">
      <c r="B20" s="12">
        <v>1</v>
      </c>
      <c r="C20" s="23" t="s">
        <v>19</v>
      </c>
      <c r="D20" s="24"/>
      <c r="E20" s="24"/>
      <c r="F20" s="24"/>
      <c r="G20" s="24"/>
      <c r="H20" s="24"/>
      <c r="I20" s="25"/>
      <c r="J20" s="13"/>
      <c r="K20" s="14" t="s">
        <v>40</v>
      </c>
    </row>
    <row r="21" spans="2:11" ht="15.75" x14ac:dyDescent="0.25">
      <c r="B21" s="15">
        <v>2</v>
      </c>
      <c r="C21" s="23" t="s">
        <v>32</v>
      </c>
      <c r="D21" s="24"/>
      <c r="E21" s="24"/>
      <c r="F21" s="24"/>
      <c r="G21" s="24"/>
      <c r="H21" s="24"/>
      <c r="I21" s="25"/>
      <c r="J21" s="16" t="s">
        <v>31</v>
      </c>
      <c r="K21" s="14">
        <v>90</v>
      </c>
    </row>
    <row r="22" spans="2:11" ht="15.75" x14ac:dyDescent="0.25">
      <c r="B22" s="17">
        <v>3</v>
      </c>
      <c r="C22" s="23" t="s">
        <v>20</v>
      </c>
      <c r="D22" s="24"/>
      <c r="E22" s="24"/>
      <c r="F22" s="24"/>
      <c r="G22" s="24"/>
      <c r="H22" s="24"/>
      <c r="I22" s="25"/>
      <c r="J22" s="17" t="s">
        <v>25</v>
      </c>
      <c r="K22" s="15">
        <v>203</v>
      </c>
    </row>
    <row r="23" spans="2:11" ht="15.75" x14ac:dyDescent="0.25">
      <c r="B23" s="15">
        <v>4</v>
      </c>
      <c r="C23" s="23" t="s">
        <v>37</v>
      </c>
      <c r="D23" s="24"/>
      <c r="E23" s="24"/>
      <c r="F23" s="24"/>
      <c r="G23" s="24"/>
      <c r="H23" s="24"/>
      <c r="I23" s="25"/>
      <c r="J23" s="15" t="s">
        <v>36</v>
      </c>
      <c r="K23" s="18">
        <v>3.2</v>
      </c>
    </row>
    <row r="24" spans="2:11" ht="15.75" x14ac:dyDescent="0.25">
      <c r="B24" s="15">
        <v>5</v>
      </c>
      <c r="C24" s="23" t="s">
        <v>41</v>
      </c>
      <c r="D24" s="24"/>
      <c r="E24" s="24"/>
      <c r="F24" s="24"/>
      <c r="G24" s="24"/>
      <c r="H24" s="24"/>
      <c r="I24" s="25"/>
      <c r="J24" s="19" t="s">
        <v>26</v>
      </c>
      <c r="K24" s="19">
        <v>7.8</v>
      </c>
    </row>
    <row r="25" spans="2:11" ht="15.75" x14ac:dyDescent="0.25">
      <c r="B25" s="15">
        <v>6</v>
      </c>
      <c r="C25" s="23" t="s">
        <v>35</v>
      </c>
      <c r="D25" s="24"/>
      <c r="E25" s="24"/>
      <c r="F25" s="24"/>
      <c r="G25" s="24"/>
      <c r="H25" s="24"/>
      <c r="I25" s="25"/>
      <c r="J25" s="19" t="s">
        <v>26</v>
      </c>
      <c r="K25" s="19">
        <v>1</v>
      </c>
    </row>
    <row r="26" spans="2:11" ht="15.75" x14ac:dyDescent="0.25">
      <c r="B26" s="17">
        <v>7</v>
      </c>
      <c r="C26" s="23" t="s">
        <v>21</v>
      </c>
      <c r="D26" s="24"/>
      <c r="E26" s="24"/>
      <c r="F26" s="24"/>
      <c r="G26" s="24"/>
      <c r="H26" s="24"/>
      <c r="I26" s="25"/>
      <c r="J26" s="17" t="s">
        <v>26</v>
      </c>
      <c r="K26" s="19">
        <v>5</v>
      </c>
    </row>
    <row r="27" spans="2:11" ht="15.75" x14ac:dyDescent="0.25">
      <c r="B27" s="15">
        <v>8</v>
      </c>
      <c r="C27" s="23" t="s">
        <v>22</v>
      </c>
      <c r="D27" s="24"/>
      <c r="E27" s="24"/>
      <c r="F27" s="24"/>
      <c r="G27" s="24"/>
      <c r="H27" s="24"/>
      <c r="I27" s="25"/>
      <c r="J27" s="15" t="s">
        <v>26</v>
      </c>
      <c r="K27" s="19">
        <v>5.5</v>
      </c>
    </row>
    <row r="28" spans="2:11" ht="15.75" x14ac:dyDescent="0.25">
      <c r="B28" s="17">
        <v>9</v>
      </c>
      <c r="C28" s="23" t="s">
        <v>23</v>
      </c>
      <c r="D28" s="24"/>
      <c r="E28" s="24"/>
      <c r="F28" s="24"/>
      <c r="G28" s="24"/>
      <c r="H28" s="24"/>
      <c r="I28" s="25"/>
      <c r="J28" s="17"/>
      <c r="K28" s="19">
        <f>(K24-0.5)/K24</f>
        <v>0.9358974358974359</v>
      </c>
    </row>
    <row r="29" spans="2:11" ht="15.75" x14ac:dyDescent="0.25">
      <c r="B29" s="15">
        <v>10</v>
      </c>
      <c r="C29" s="23" t="s">
        <v>39</v>
      </c>
      <c r="D29" s="24"/>
      <c r="E29" s="24"/>
      <c r="F29" s="24"/>
      <c r="G29" s="24"/>
      <c r="H29" s="24"/>
      <c r="I29" s="25"/>
      <c r="J29" s="15" t="s">
        <v>42</v>
      </c>
      <c r="K29" s="20">
        <f>K23*(K24-K25)</f>
        <v>21.76</v>
      </c>
    </row>
    <row r="30" spans="2:11" ht="15.75" x14ac:dyDescent="0.25">
      <c r="B30" s="15">
        <v>11</v>
      </c>
      <c r="C30" s="23" t="s">
        <v>24</v>
      </c>
      <c r="D30" s="24"/>
      <c r="E30" s="24"/>
      <c r="F30" s="24"/>
      <c r="G30" s="24"/>
      <c r="H30" s="24"/>
      <c r="I30" s="25"/>
      <c r="J30" s="15" t="s">
        <v>27</v>
      </c>
      <c r="K30" s="15">
        <v>300</v>
      </c>
    </row>
    <row r="31" spans="2:11" ht="15.75" x14ac:dyDescent="0.25">
      <c r="B31" s="15">
        <v>12</v>
      </c>
      <c r="C31" s="23" t="s">
        <v>28</v>
      </c>
      <c r="D31" s="24"/>
      <c r="E31" s="24"/>
      <c r="F31" s="24"/>
      <c r="G31" s="24"/>
      <c r="H31" s="24"/>
      <c r="I31" s="25"/>
      <c r="J31" s="15" t="s">
        <v>27</v>
      </c>
      <c r="K31" s="15">
        <v>1167</v>
      </c>
    </row>
    <row r="32" spans="2:11" ht="15.75" x14ac:dyDescent="0.25">
      <c r="B32" s="15">
        <v>13</v>
      </c>
      <c r="C32" s="23" t="s">
        <v>30</v>
      </c>
      <c r="D32" s="24"/>
      <c r="E32" s="24"/>
      <c r="F32" s="24"/>
      <c r="G32" s="24"/>
      <c r="H32" s="24"/>
      <c r="I32" s="25"/>
      <c r="J32" s="15" t="s">
        <v>29</v>
      </c>
      <c r="K32" s="21">
        <v>149</v>
      </c>
    </row>
    <row r="33" spans="2:11" ht="15.75" x14ac:dyDescent="0.25">
      <c r="B33" s="26" t="s">
        <v>44</v>
      </c>
      <c r="C33" s="27"/>
      <c r="D33" s="27"/>
      <c r="E33" s="27"/>
      <c r="F33" s="27"/>
      <c r="G33" s="27"/>
      <c r="H33" s="27"/>
      <c r="I33" s="27"/>
      <c r="J33" s="27"/>
      <c r="K33" s="28"/>
    </row>
    <row r="34" spans="2:11" ht="15.75" x14ac:dyDescent="0.25">
      <c r="B34" s="15">
        <v>14</v>
      </c>
      <c r="C34" s="23" t="s">
        <v>33</v>
      </c>
      <c r="D34" s="24"/>
      <c r="E34" s="24"/>
      <c r="F34" s="24"/>
      <c r="G34" s="24"/>
      <c r="H34" s="24"/>
      <c r="I34" s="25"/>
      <c r="J34" s="15" t="s">
        <v>34</v>
      </c>
      <c r="K34" s="22">
        <f>K31/(K30*2)</f>
        <v>1.9450000000000001</v>
      </c>
    </row>
  </sheetData>
  <mergeCells count="26">
    <mergeCell ref="I3:J3"/>
    <mergeCell ref="K3:L3"/>
    <mergeCell ref="B7:C7"/>
    <mergeCell ref="B3:B4"/>
    <mergeCell ref="C3:C4"/>
    <mergeCell ref="D3:D4"/>
    <mergeCell ref="E3:E4"/>
    <mergeCell ref="F3:F4"/>
    <mergeCell ref="G3:H3"/>
    <mergeCell ref="B17:K18"/>
    <mergeCell ref="C19:I19"/>
    <mergeCell ref="C20:I20"/>
    <mergeCell ref="C21:I21"/>
    <mergeCell ref="C22:I22"/>
    <mergeCell ref="C23:I23"/>
    <mergeCell ref="C24:I24"/>
    <mergeCell ref="C25:I25"/>
    <mergeCell ref="C26:I26"/>
    <mergeCell ref="C27:I27"/>
    <mergeCell ref="C34:I34"/>
    <mergeCell ref="C28:I28"/>
    <mergeCell ref="C29:I29"/>
    <mergeCell ref="C30:I30"/>
    <mergeCell ref="C31:I31"/>
    <mergeCell ref="C32:I32"/>
    <mergeCell ref="B33:K3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Тех. показ.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poisk-46</dc:creator>
  <cp:lastModifiedBy>poisk-49</cp:lastModifiedBy>
  <cp:lastPrinted>2018-02-14T06:23:18Z</cp:lastPrinted>
  <dcterms:created xsi:type="dcterms:W3CDTF">2016-09-22T03:53:20Z</dcterms:created>
  <dcterms:modified xsi:type="dcterms:W3CDTF">2026-04-30T06:57:14Z</dcterms:modified>
</cp:coreProperties>
</file>